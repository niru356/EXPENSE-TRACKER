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<sst xmlns="http://schemas.openxmlformats.org/spreadsheetml/2006/main" count="35" uniqueCount="27">
  <si>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S.no</t>
  </si>
  <si>
    <t>Description</t>
  </si>
  <si>
    <t>Type</t>
  </si>
  <si>
    <t>Amount</t>
  </si>
  <si>
    <t>Food</t>
  </si>
  <si>
    <t>Fun</t>
  </si>
  <si>
    <t>Investment</t>
  </si>
  <si>
    <t>office</t>
  </si>
  <si>
    <t>Tea</t>
  </si>
  <si>
    <t>food</t>
  </si>
  <si>
    <t>Snacks</t>
  </si>
  <si>
    <t>Gulab Jamun</t>
  </si>
  <si>
    <t>Lunch</t>
  </si>
  <si>
    <t>Stationary</t>
  </si>
  <si>
    <t>Zerodha</t>
  </si>
  <si>
    <t>investment</t>
  </si>
  <si>
    <t>Icici</t>
  </si>
  <si>
    <t>Dinner</t>
  </si>
  <si>
    <t>Birthday of a Niru</t>
  </si>
  <si>
    <t>fun</t>
  </si>
  <si>
    <t>Total for the Day</t>
  </si>
  <si>
    <t>Average Transaction</t>
  </si>
  <si>
    <t>Value</t>
  </si>
  <si>
    <t>Food Expenses</t>
  </si>
  <si>
    <t>Fun Expenses</t>
  </si>
  <si>
    <t>Office Expenses</t>
  </si>
  <si>
    <t xml:space="preserve"> Invest Expenses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</si>
</sst>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85" zoomScaleNormal="85" zoomScaleSheetLayoutView="60" topLeftCell="B1" workbookViewId="0">
      <selection activeCell="D3" sqref="D3"/>
    </sheetView>
  </sheetViews>
  <sheetFormatPr defaultColWidth="9.81818181818182" defaultRowHeight="14.5"/>
  <cols>
    <col min="2" max="2" width="16.5454545454545" customWidth="1"/>
    <col min="3" max="3" width="11.5454545454545" customWidth="1"/>
    <col min="5" max="5" width="26.5454545454545" customWidth="1"/>
    <col min="6" max="6" width="30.0909090909091" customWidth="1"/>
    <col min="7" max="7" width="28.9090909090909" customWidth="1"/>
    <col min="8" max="8" width="29.5454545454545" customWidth="1"/>
    <col min="9" max="9" width="24.2818181818182" customWidth="1"/>
    <col min="11" max="11" width="16.1363636363636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32</v>
      </c>
      <c r="E2">
        <f>COUNTIF(C2,"food")*D2</f>
        <v>32</v>
      </c>
      <c r="F2">
        <f>COUNTIF(C2,"fun")*D2</f>
        <v>0</v>
      </c>
      <c r="G2">
        <f>COUNTIF(C2,"investment")</f>
        <v>0</v>
      </c>
      <c r="H2">
        <f>COUNTIF(C2,"office")</f>
        <v>0</v>
      </c>
    </row>
    <row r="3" spans="1:8">
      <c r="A3">
        <v>2</v>
      </c>
      <c r="B3" t="s">
        <v>10</v>
      </c>
      <c r="C3" t="s">
        <v>9</v>
      </c>
      <c r="D3">
        <v>8</v>
      </c>
      <c r="E3">
        <f>COUNTIF(C3,"food")*D3</f>
        <v>8</v>
      </c>
      <c r="F3">
        <f t="shared" ref="F3:F11" si="0">COUNTIF(C3,"fun")*D3</f>
        <v>0</v>
      </c>
      <c r="G3">
        <f t="shared" ref="G3:G11" si="1">COUNTIF(C3,"investment")</f>
        <v>0</v>
      </c>
      <c r="H3">
        <f t="shared" ref="H3:H11" si="2">COUNTIF(C3,"office")</f>
        <v>0</v>
      </c>
    </row>
    <row r="4" spans="1:8">
      <c r="A4">
        <v>3</v>
      </c>
      <c r="B4" t="s">
        <v>11</v>
      </c>
      <c r="C4" t="s">
        <v>9</v>
      </c>
      <c r="D4">
        <v>20</v>
      </c>
      <c r="E4">
        <f>COUNTIF(C4,"food")*D4</f>
        <v>20</v>
      </c>
      <c r="F4">
        <f t="shared" si="0"/>
        <v>0</v>
      </c>
      <c r="G4">
        <f t="shared" si="1"/>
        <v>0</v>
      </c>
      <c r="H4">
        <f t="shared" si="2"/>
        <v>0</v>
      </c>
    </row>
    <row r="5" spans="1:8">
      <c r="A5">
        <v>4</v>
      </c>
      <c r="B5" t="s">
        <v>12</v>
      </c>
      <c r="C5" t="s">
        <v>9</v>
      </c>
      <c r="D5">
        <v>80</v>
      </c>
      <c r="E5">
        <f>COUNTIF(C5,"food")*D5</f>
        <v>80</v>
      </c>
      <c r="F5">
        <f t="shared" si="0"/>
        <v>0</v>
      </c>
      <c r="G5">
        <f t="shared" si="1"/>
        <v>0</v>
      </c>
      <c r="H5">
        <f t="shared" si="2"/>
        <v>0</v>
      </c>
    </row>
    <row r="6" spans="1:8">
      <c r="A6">
        <v>5</v>
      </c>
      <c r="B6" t="s">
        <v>8</v>
      </c>
      <c r="C6" t="s">
        <v>9</v>
      </c>
      <c r="D6">
        <v>10</v>
      </c>
      <c r="E6">
        <f>COUNTIF(C6,"food")*D6</f>
        <v>10</v>
      </c>
      <c r="F6">
        <f t="shared" si="0"/>
        <v>0</v>
      </c>
      <c r="G6">
        <f t="shared" si="1"/>
        <v>0</v>
      </c>
      <c r="H6">
        <f t="shared" si="2"/>
        <v>0</v>
      </c>
    </row>
    <row r="7" spans="1:8">
      <c r="A7">
        <v>6</v>
      </c>
      <c r="B7" t="s">
        <v>13</v>
      </c>
      <c r="C7" t="s">
        <v>7</v>
      </c>
      <c r="D7">
        <v>40</v>
      </c>
      <c r="E7">
        <f>COUNTIF(C7,"food")*D6</f>
        <v>0</v>
      </c>
      <c r="F7">
        <f t="shared" si="0"/>
        <v>0</v>
      </c>
      <c r="G7">
        <f t="shared" si="1"/>
        <v>0</v>
      </c>
      <c r="H7">
        <f t="shared" si="2"/>
        <v>1</v>
      </c>
    </row>
    <row r="8" spans="1:8">
      <c r="A8">
        <v>7</v>
      </c>
      <c r="B8" t="s">
        <v>14</v>
      </c>
      <c r="C8" t="s">
        <v>15</v>
      </c>
      <c r="D8">
        <v>1000</v>
      </c>
      <c r="E8">
        <f>COUNTIF(C8,"food")</f>
        <v>0</v>
      </c>
      <c r="F8">
        <f t="shared" si="0"/>
        <v>0</v>
      </c>
      <c r="G8">
        <f>COUNTIF(C8,"investment")*D8</f>
        <v>1000</v>
      </c>
      <c r="H8">
        <f t="shared" si="2"/>
        <v>0</v>
      </c>
    </row>
    <row r="9" spans="1:8">
      <c r="A9">
        <v>8</v>
      </c>
      <c r="B9" t="s">
        <v>16</v>
      </c>
      <c r="C9" t="s">
        <v>15</v>
      </c>
      <c r="D9">
        <v>2000</v>
      </c>
      <c r="E9">
        <f>COUNTIF(C9,"food")</f>
        <v>0</v>
      </c>
      <c r="F9">
        <f t="shared" si="0"/>
        <v>0</v>
      </c>
      <c r="G9">
        <f>COUNTIF(C9,"investment")*D9</f>
        <v>2000</v>
      </c>
      <c r="H9">
        <f t="shared" si="2"/>
        <v>0</v>
      </c>
    </row>
    <row r="10" spans="1:8">
      <c r="A10">
        <v>9</v>
      </c>
      <c r="B10" t="s">
        <v>17</v>
      </c>
      <c r="C10" t="s">
        <v>9</v>
      </c>
      <c r="D10">
        <v>90</v>
      </c>
      <c r="E10">
        <f>COUNTIF(C10,"food")*D10</f>
        <v>90</v>
      </c>
      <c r="F10">
        <f t="shared" si="0"/>
        <v>0</v>
      </c>
      <c r="G10">
        <f t="shared" si="1"/>
        <v>0</v>
      </c>
      <c r="H10">
        <f t="shared" si="2"/>
        <v>0</v>
      </c>
    </row>
    <row r="11" spans="1:8">
      <c r="A11">
        <v>10</v>
      </c>
      <c r="B11" t="s">
        <v>18</v>
      </c>
      <c r="C11" t="s">
        <v>19</v>
      </c>
      <c r="D11">
        <v>300</v>
      </c>
      <c r="E11">
        <f>COUNTIF(C11,"food")</f>
        <v>0</v>
      </c>
      <c r="F11">
        <f t="shared" si="0"/>
        <v>300</v>
      </c>
      <c r="G11">
        <f t="shared" si="1"/>
        <v>0</v>
      </c>
      <c r="H11">
        <f t="shared" si="2"/>
        <v>0</v>
      </c>
    </row>
    <row r="18" spans="9:11">
      <c r="I18" t="s">
        <v>20</v>
      </c>
    </row>
    <row r="19" spans="9:11">
      <c r="I19" t="s">
        <v>21</v>
      </c>
    </row>
    <row r="20" spans="9:11">
      <c r="I20" t="s">
        <v>22</v>
      </c>
    </row>
    <row r="21" spans="9:11">
      <c r="I21" t="s">
        <v>23</v>
      </c>
      <c r="J21">
        <f>SUM(E2:E11)</f>
        <v>240</v>
      </c>
      <c r="K21">
        <f>J21/SUM(J21:J24)*100</f>
        <v>6.77774639932222</v>
      </c>
    </row>
    <row r="22" spans="9:11">
      <c r="I22" t="s">
        <v>24</v>
      </c>
      <c r="J22">
        <f>SUM(F2:F11)</f>
        <v>300</v>
      </c>
      <c r="K22">
        <f>J22/SUM(J21:J24)*100</f>
        <v>8.47218299915278</v>
      </c>
    </row>
    <row r="23" spans="9:11">
      <c r="I23" t="s">
        <v>25</v>
      </c>
      <c r="J23">
        <f>SUM(H2:H11)</f>
        <v>1</v>
      </c>
      <c r="K23">
        <f>J23/SUM(J21:J24)*100</f>
        <v>0.0282406099971759</v>
      </c>
    </row>
    <row r="24" spans="9:11">
      <c r="I24" t="s">
        <v>26</v>
      </c>
      <c r="J24">
        <f>SUM(G2:G11)</f>
        <v>3000</v>
      </c>
      <c r="K24">
        <f>J24/SUM(J21:J24)*100</f>
        <v>84.7218299915278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2026-05-07T05:26:35Z</dcterms:created>
  <dcterms:modified xsi:type="dcterms:W3CDTF">2026-05-07T06:52:58Z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49ED40CCC18645AC96029F159143BC76_13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